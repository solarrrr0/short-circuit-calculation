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龙和光伏" sheetId="7" r:id="rId1"/>
    <sheet name="新京光伏" sheetId="6" r:id="rId2"/>
    <sheet name="林山光伏" sheetId="5" r:id="rId3"/>
    <sheet name="新昌光伏" sheetId="4" r:id="rId4"/>
    <sheet name="Sheet1" sheetId="1" r:id="rId5"/>
    <sheet name="吉利光伏" sheetId="2" r:id="rId6"/>
    <sheet name="Sheet3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<sst xmlns="http://schemas.openxmlformats.org/spreadsheetml/2006/main" count="300" uniqueCount="87">
  <si>
    <t>Ij/kA</t>
  </si>
  <si>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电压等级</t>
    </r>
  </si>
  <si>
    <r>
      <rPr>
        <sz val="11"/>
        <color theme="1"/>
        <rFont val="宋体"/>
        <charset val="134"/>
      </rPr>
      <t>额定电压</t>
    </r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35kV</t>
    </r>
  </si>
  <si>
    <r>
      <rPr>
        <sz val="11"/>
        <color theme="1"/>
        <rFont val="Times New Roman"/>
        <charset val="134"/>
      </rPr>
      <t>35kV</t>
    </r>
    <r>
      <rPr>
        <sz val="11"/>
        <color theme="1"/>
        <rFont val="宋体"/>
        <charset val="134"/>
      </rPr>
      <t>电压等级</t>
    </r>
  </si>
  <si>
    <r>
      <rPr>
        <sz val="11"/>
        <color rgb="FF0070C0"/>
        <rFont val="宋体"/>
        <charset val="134"/>
      </rPr>
      <t>基准电流</t>
    </r>
    <r>
      <rPr>
        <sz val="11"/>
        <color rgb="FF0070C0"/>
        <rFont val="Times New Roman"/>
        <charset val="134"/>
      </rPr>
      <t>Ij=</t>
    </r>
    <r>
      <rPr>
        <sz val="11"/>
        <color rgb="FF0070C0"/>
        <rFont val="宋体"/>
        <charset val="134"/>
      </rPr>
      <t>基准容量</t>
    </r>
    <r>
      <rPr>
        <sz val="11"/>
        <color rgb="FF0070C0"/>
        <rFont val="Times New Roman"/>
        <charset val="134"/>
      </rPr>
      <t>/1.732/</t>
    </r>
    <r>
      <rPr>
        <sz val="11"/>
        <color rgb="FF0070C0"/>
        <rFont val="宋体"/>
        <charset val="134"/>
      </rPr>
      <t>基准电压</t>
    </r>
  </si>
  <si>
    <r>
      <rPr>
        <sz val="11"/>
        <color theme="1"/>
        <rFont val="宋体"/>
        <charset val="134"/>
      </rPr>
      <t>基准容量</t>
    </r>
    <r>
      <rPr>
        <sz val="11"/>
        <color theme="1"/>
        <rFont val="Times New Roman"/>
        <charset val="134"/>
      </rPr>
      <t>100MVA</t>
    </r>
    <r>
      <rPr>
        <sz val="11"/>
        <color theme="1"/>
        <rFont val="宋体"/>
        <charset val="134"/>
      </rPr>
      <t>，基准电压</t>
    </r>
    <r>
      <rPr>
        <sz val="11"/>
        <color theme="1"/>
        <rFont val="Times New Roman"/>
        <charset val="134"/>
      </rPr>
      <t>115kV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37kV</t>
    </r>
  </si>
  <si>
    <r>
      <rPr>
        <sz val="11"/>
        <color theme="1"/>
        <rFont val="宋体"/>
        <charset val="134"/>
      </rPr>
      <t>光伏额定容量</t>
    </r>
    <r>
      <rPr>
        <sz val="11"/>
        <color theme="1"/>
        <rFont val="Times New Roman"/>
        <charset val="134"/>
      </rPr>
      <t>/MVA</t>
    </r>
  </si>
  <si>
    <r>
      <rPr>
        <sz val="11"/>
        <color theme="1"/>
        <rFont val="宋体"/>
        <charset val="134"/>
      </rPr>
      <t>光伏额定电流</t>
    </r>
    <r>
      <rPr>
        <sz val="11"/>
        <color theme="1"/>
        <rFont val="Times New Roman"/>
        <charset val="134"/>
      </rPr>
      <t>/kA</t>
    </r>
  </si>
  <si>
    <r>
      <rPr>
        <sz val="11"/>
        <color theme="1"/>
        <rFont val="宋体"/>
        <charset val="134"/>
      </rPr>
      <t>光伏短路电流</t>
    </r>
    <r>
      <rPr>
        <sz val="11"/>
        <color theme="1"/>
        <rFont val="Times New Roman"/>
        <charset val="134"/>
      </rPr>
      <t>/kA</t>
    </r>
  </si>
  <si>
    <r>
      <rPr>
        <sz val="11"/>
        <color theme="1"/>
        <rFont val="宋体"/>
        <charset val="134"/>
      </rPr>
      <t>电压等级</t>
    </r>
  </si>
  <si>
    <t>110kV</t>
  </si>
  <si>
    <r>
      <rPr>
        <sz val="11"/>
        <color rgb="FF0070C0"/>
        <rFont val="宋体"/>
        <charset val="134"/>
      </rPr>
      <t>短路电流为额定电流的</t>
    </r>
    <r>
      <rPr>
        <sz val="11"/>
        <color rgb="FF0070C0"/>
        <rFont val="Times New Roman"/>
        <charset val="134"/>
      </rPr>
      <t>1.5</t>
    </r>
    <r>
      <rPr>
        <sz val="11"/>
        <color rgb="FF0070C0"/>
        <rFont val="宋体"/>
        <charset val="134"/>
      </rPr>
      <t>倍</t>
    </r>
  </si>
  <si>
    <r>
      <rPr>
        <sz val="11"/>
        <color rgb="FF0070C0"/>
        <rFont val="Times New Roman"/>
        <charset val="134"/>
      </rPr>
      <t>0.95</t>
    </r>
    <r>
      <rPr>
        <sz val="11"/>
        <color rgb="FF0070C0"/>
        <rFont val="宋体"/>
        <charset val="134"/>
      </rPr>
      <t>的功率因数</t>
    </r>
  </si>
  <si>
    <t>35kV</t>
  </si>
  <si>
    <r>
      <rPr>
        <sz val="11"/>
        <color rgb="FF0070C0"/>
        <rFont val="宋体"/>
        <charset val="134"/>
      </rPr>
      <t>额定电流</t>
    </r>
    <r>
      <rPr>
        <sz val="11"/>
        <color rgb="FF0070C0"/>
        <rFont val="Times New Roman"/>
        <charset val="134"/>
      </rPr>
      <t>=</t>
    </r>
    <r>
      <rPr>
        <sz val="11"/>
        <color rgb="FF0070C0"/>
        <rFont val="宋体"/>
        <charset val="134"/>
      </rPr>
      <t>额定容量</t>
    </r>
    <r>
      <rPr>
        <sz val="11"/>
        <color rgb="FF0070C0"/>
        <rFont val="Times New Roman"/>
        <charset val="134"/>
      </rPr>
      <t>/1.732/</t>
    </r>
    <r>
      <rPr>
        <sz val="11"/>
        <color rgb="FF0070C0"/>
        <rFont val="宋体"/>
        <charset val="134"/>
      </rPr>
      <t>额定电压</t>
    </r>
  </si>
  <si>
    <r>
      <rPr>
        <sz val="11"/>
        <color rgb="FF0070C0"/>
        <rFont val="Times New Roman"/>
        <charset val="134"/>
      </rPr>
      <t>40MW</t>
    </r>
    <r>
      <rPr>
        <sz val="11"/>
        <color rgb="FF0070C0"/>
        <rFont val="宋体"/>
        <charset val="134"/>
      </rPr>
      <t>的额定有功功率</t>
    </r>
    <r>
      <rPr>
        <sz val="11"/>
        <color rgb="FF0070C0"/>
        <rFont val="Times New Roman"/>
        <charset val="134"/>
      </rPr>
      <t>P</t>
    </r>
  </si>
  <si>
    <r>
      <rPr>
        <sz val="11"/>
        <color theme="1"/>
        <rFont val="宋体"/>
        <charset val="134"/>
      </rPr>
      <t>南竹变</t>
    </r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侧</t>
    </r>
  </si>
  <si>
    <r>
      <rPr>
        <sz val="11"/>
        <color theme="1"/>
        <rFont val="宋体"/>
        <charset val="134"/>
      </rPr>
      <t>正序短路阻抗（三相短路）</t>
    </r>
  </si>
  <si>
    <r>
      <rPr>
        <sz val="11"/>
        <color theme="1"/>
        <rFont val="宋体"/>
        <charset val="134"/>
      </rPr>
      <t>零序短路阻抗（单相短路）</t>
    </r>
  </si>
  <si>
    <r>
      <rPr>
        <sz val="11"/>
        <color theme="1"/>
        <rFont val="宋体"/>
        <charset val="134"/>
      </rPr>
      <t>（两相接地短路）</t>
    </r>
  </si>
  <si>
    <r>
      <rPr>
        <sz val="11"/>
        <color theme="1"/>
        <rFont val="宋体"/>
        <charset val="134"/>
      </rPr>
      <t>正序</t>
    </r>
    <r>
      <rPr>
        <sz val="11"/>
        <color theme="1"/>
        <rFont val="Times New Roman"/>
        <charset val="134"/>
      </rPr>
      <t>X</t>
    </r>
    <r>
      <rPr>
        <vertAlign val="subscript"/>
        <sz val="11"/>
        <color theme="1"/>
        <rFont val="Times New Roman"/>
        <charset val="134"/>
      </rPr>
      <t xml:space="preserve">∑
</t>
    </r>
    <r>
      <rPr>
        <sz val="11"/>
        <color theme="1"/>
        <rFont val="宋体"/>
        <charset val="134"/>
      </rPr>
      <t>零序</t>
    </r>
    <r>
      <rPr>
        <sz val="11"/>
        <color theme="1"/>
        <rFont val="Times New Roman"/>
        <charset val="134"/>
      </rPr>
      <t>X</t>
    </r>
    <r>
      <rPr>
        <vertAlign val="subscript"/>
        <sz val="11"/>
        <color theme="1"/>
        <rFont val="Times New Roman"/>
        <charset val="134"/>
      </rPr>
      <t>∑0</t>
    </r>
  </si>
  <si>
    <r>
      <rPr>
        <sz val="11"/>
        <color theme="1"/>
        <rFont val="Times New Roman"/>
        <charset val="134"/>
      </rPr>
      <t>k</t>
    </r>
    <r>
      <rPr>
        <vertAlign val="subscript"/>
        <sz val="11"/>
        <color theme="1"/>
        <rFont val="Times New Roman"/>
        <charset val="134"/>
      </rPr>
      <t>0</t>
    </r>
    <r>
      <rPr>
        <sz val="11"/>
        <color theme="1"/>
        <rFont val="Times New Roman"/>
        <charset val="134"/>
      </rPr>
      <t>=X</t>
    </r>
    <r>
      <rPr>
        <vertAlign val="subscript"/>
        <sz val="11"/>
        <color theme="1"/>
        <rFont val="Times New Roman"/>
        <charset val="134"/>
      </rPr>
      <t>∑0</t>
    </r>
    <r>
      <rPr>
        <sz val="11"/>
        <color theme="1"/>
        <rFont val="Times New Roman"/>
        <charset val="134"/>
      </rPr>
      <t>/X</t>
    </r>
    <r>
      <rPr>
        <vertAlign val="subscript"/>
        <sz val="11"/>
        <color theme="1"/>
        <rFont val="Times New Roman"/>
        <charset val="134"/>
      </rPr>
      <t>∑</t>
    </r>
  </si>
  <si>
    <r>
      <rPr>
        <sz val="11"/>
        <color theme="1"/>
        <rFont val="宋体"/>
        <charset val="134"/>
      </rPr>
      <t>三相</t>
    </r>
    <r>
      <rPr>
        <sz val="11"/>
        <color theme="1"/>
        <rFont val="Times New Roman"/>
        <charset val="134"/>
      </rPr>
      <t xml:space="preserve"> 1/X</t>
    </r>
    <r>
      <rPr>
        <vertAlign val="subscript"/>
        <sz val="11"/>
        <color theme="1"/>
        <rFont val="Times New Roman"/>
        <charset val="134"/>
      </rPr>
      <t>∑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单相</t>
    </r>
    <r>
      <rPr>
        <sz val="11"/>
        <color theme="1"/>
        <rFont val="Times New Roman"/>
        <charset val="134"/>
      </rPr>
      <t xml:space="preserve"> 3/(2X</t>
    </r>
    <r>
      <rPr>
        <vertAlign val="subscript"/>
        <sz val="11"/>
        <color theme="1"/>
        <rFont val="Times New Roman"/>
        <charset val="134"/>
      </rPr>
      <t>∑</t>
    </r>
    <r>
      <rPr>
        <sz val="11"/>
        <color theme="1"/>
        <rFont val="Times New Roman"/>
        <charset val="134"/>
      </rPr>
      <t>+X</t>
    </r>
    <r>
      <rPr>
        <vertAlign val="subscript"/>
        <sz val="11"/>
        <color theme="1"/>
        <rFont val="Times New Roman"/>
        <charset val="134"/>
      </rPr>
      <t>∑0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</si>
  <si>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两相接地短路电流系数：</t>
    </r>
    <r>
      <rPr>
        <sz val="11"/>
        <color theme="1"/>
        <rFont val="Times New Roman"/>
        <charset val="134"/>
      </rPr>
      <t xml:space="preserve">
{(√3)*√[(0.5+k</t>
    </r>
    <r>
      <rPr>
        <vertAlign val="subscript"/>
        <sz val="11"/>
        <color theme="1"/>
        <rFont val="Times New Roman"/>
        <charset val="134"/>
      </rPr>
      <t>0</t>
    </r>
    <r>
      <rPr>
        <sz val="11"/>
        <color theme="1"/>
        <rFont val="Times New Roman"/>
        <charset val="134"/>
      </rPr>
      <t>)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+((√3)/2)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]}/(1+2k</t>
    </r>
    <r>
      <rPr>
        <vertAlign val="subscript"/>
        <sz val="11"/>
        <color theme="1"/>
        <rFont val="Times New Roman"/>
        <charset val="134"/>
      </rPr>
      <t>0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</si>
  <si>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三相短路电流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基准电流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正序短路阻抗</t>
    </r>
  </si>
  <si>
    <r>
      <rPr>
        <sz val="11"/>
        <color theme="1"/>
        <rFont val="宋体"/>
        <charset val="134"/>
      </rPr>
      <t>系统短路电流</t>
    </r>
    <r>
      <rPr>
        <sz val="11"/>
        <color theme="1"/>
        <rFont val="Times New Roman"/>
        <charset val="134"/>
      </rPr>
      <t>/kA</t>
    </r>
  </si>
  <si>
    <r>
      <rPr>
        <sz val="11"/>
        <color theme="1"/>
        <rFont val="宋体"/>
        <charset val="134"/>
      </rPr>
      <t>两相接地短路电流</t>
    </r>
    <r>
      <rPr>
        <sz val="11"/>
        <color theme="1"/>
        <rFont val="Times New Roman"/>
        <charset val="134"/>
      </rPr>
      <t xml:space="preserve">
=</t>
    </r>
    <r>
      <rPr>
        <sz val="11"/>
        <color theme="1"/>
        <rFont val="宋体"/>
        <charset val="134"/>
      </rPr>
      <t>两相接地短路电流系数</t>
    </r>
    <r>
      <rPr>
        <sz val="11"/>
        <color theme="1"/>
        <rFont val="Times New Roman"/>
        <charset val="134"/>
      </rPr>
      <t>*</t>
    </r>
    <r>
      <rPr>
        <sz val="11"/>
        <color theme="1"/>
        <rFont val="宋体"/>
        <charset val="134"/>
      </rPr>
      <t>三相短路电流</t>
    </r>
  </si>
  <si>
    <r>
      <rPr>
        <sz val="11"/>
        <color theme="1"/>
        <rFont val="宋体"/>
        <charset val="134"/>
      </rPr>
      <t>单相短路电流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基准电流</t>
    </r>
    <r>
      <rPr>
        <sz val="11"/>
        <color theme="1"/>
        <rFont val="Times New Roman"/>
        <charset val="134"/>
      </rPr>
      <t>*3/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2*</t>
    </r>
    <r>
      <rPr>
        <sz val="11"/>
        <color theme="1"/>
        <rFont val="宋体"/>
        <charset val="134"/>
      </rPr>
      <t>正序短路阻抗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零序短路阻抗）</t>
    </r>
  </si>
  <si>
    <r>
      <rPr>
        <sz val="11"/>
        <color theme="1"/>
        <rFont val="宋体"/>
        <charset val="134"/>
      </rPr>
      <t>总短路电流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系统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光伏</t>
    </r>
    <r>
      <rPr>
        <sz val="11"/>
        <color theme="1"/>
        <rFont val="Times New Roman"/>
        <charset val="134"/>
      </rPr>
      <t>)/kA</t>
    </r>
  </si>
  <si>
    <r>
      <rPr>
        <sz val="11"/>
        <color theme="1"/>
        <rFont val="宋体"/>
        <charset val="134"/>
      </rPr>
      <t>光伏站</t>
    </r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侧</t>
    </r>
  </si>
  <si>
    <r>
      <rPr>
        <sz val="11"/>
        <color rgb="FF0070C0"/>
        <rFont val="Times New Roman"/>
        <charset val="134"/>
      </rPr>
      <t>T</t>
    </r>
    <r>
      <rPr>
        <sz val="11"/>
        <color rgb="FF0070C0"/>
        <rFont val="宋体"/>
        <charset val="134"/>
      </rPr>
      <t>接点至南竹变</t>
    </r>
    <r>
      <rPr>
        <sz val="11"/>
        <color rgb="FF0070C0"/>
        <rFont val="Times New Roman"/>
        <charset val="134"/>
      </rPr>
      <t>7.89km</t>
    </r>
    <r>
      <rPr>
        <sz val="11"/>
        <color rgb="FF0070C0"/>
        <rFont val="宋体"/>
        <charset val="134"/>
      </rPr>
      <t>，</t>
    </r>
    <r>
      <rPr>
        <sz val="11"/>
        <color rgb="FF0070C0"/>
        <rFont val="Times New Roman"/>
        <charset val="134"/>
      </rPr>
      <t>T</t>
    </r>
    <r>
      <rPr>
        <sz val="11"/>
        <color rgb="FF0070C0"/>
        <rFont val="宋体"/>
        <charset val="134"/>
      </rPr>
      <t>接新建线路</t>
    </r>
    <r>
      <rPr>
        <sz val="11"/>
        <color rgb="FF0070C0"/>
        <rFont val="Times New Roman"/>
        <charset val="134"/>
      </rPr>
      <t>0.88km</t>
    </r>
  </si>
  <si>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架空线路单位电抗为</t>
    </r>
    <r>
      <rPr>
        <sz val="11"/>
        <color theme="1"/>
        <rFont val="Times New Roman"/>
        <charset val="134"/>
      </rPr>
      <t>0.41Ω/km</t>
    </r>
  </si>
  <si>
    <r>
      <rPr>
        <sz val="11"/>
        <color theme="1"/>
        <rFont val="宋体"/>
        <charset val="134"/>
      </rPr>
      <t>架空线路零序电抗</t>
    </r>
    <r>
      <rPr>
        <sz val="11"/>
        <color theme="1"/>
        <rFont val="Times New Roman"/>
        <charset val="134"/>
      </rPr>
      <t>=2.5*</t>
    </r>
    <r>
      <rPr>
        <sz val="11"/>
        <color theme="1"/>
        <rFont val="宋体"/>
        <charset val="134"/>
      </rPr>
      <t>架空线路正序电抗</t>
    </r>
  </si>
  <si>
    <r>
      <rPr>
        <sz val="11"/>
        <color theme="1"/>
        <rFont val="宋体"/>
        <charset val="134"/>
      </rPr>
      <t>架空线路电抗标幺值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线路长度</t>
    </r>
    <r>
      <rPr>
        <sz val="11"/>
        <color theme="1"/>
        <rFont val="Times New Roman"/>
        <charset val="134"/>
      </rPr>
      <t>*</t>
    </r>
    <r>
      <rPr>
        <sz val="11"/>
        <color theme="1"/>
        <rFont val="宋体"/>
        <charset val="134"/>
      </rPr>
      <t>单位长度电抗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基准阻抗</t>
    </r>
  </si>
  <si>
    <r>
      <rPr>
        <sz val="11"/>
        <color theme="1"/>
        <rFont val="宋体"/>
        <charset val="134"/>
      </rPr>
      <t>基准阻抗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基准电压的平方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基准容量</t>
    </r>
  </si>
  <si>
    <r>
      <rPr>
        <sz val="11"/>
        <color theme="1"/>
        <rFont val="宋体"/>
        <charset val="134"/>
      </rPr>
      <t>光伏站</t>
    </r>
    <r>
      <rPr>
        <sz val="11"/>
        <color theme="1"/>
        <rFont val="Times New Roman"/>
        <charset val="134"/>
      </rPr>
      <t>35kV</t>
    </r>
    <r>
      <rPr>
        <sz val="11"/>
        <color theme="1"/>
        <rFont val="宋体"/>
        <charset val="134"/>
      </rPr>
      <t>侧</t>
    </r>
  </si>
  <si>
    <r>
      <rPr>
        <sz val="11"/>
        <color theme="1"/>
        <rFont val="宋体"/>
        <charset val="134"/>
      </rPr>
      <t>（两相短路）</t>
    </r>
  </si>
  <si>
    <r>
      <rPr>
        <sz val="11"/>
        <color theme="1"/>
        <rFont val="宋体"/>
        <charset val="134"/>
      </rPr>
      <t>无</t>
    </r>
  </si>
  <si>
    <r>
      <rPr>
        <sz val="11"/>
        <color theme="1"/>
        <rFont val="宋体"/>
        <charset val="134"/>
      </rPr>
      <t>变压器电抗值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短路电压百分比</t>
    </r>
    <r>
      <rPr>
        <sz val="11"/>
        <color theme="1"/>
        <rFont val="Times New Roman"/>
        <charset val="134"/>
      </rPr>
      <t>(%)/</t>
    </r>
    <r>
      <rPr>
        <sz val="11"/>
        <color theme="1"/>
        <rFont val="宋体"/>
        <charset val="134"/>
      </rPr>
      <t>变压器额定容量</t>
    </r>
    <r>
      <rPr>
        <sz val="11"/>
        <color theme="1"/>
        <rFont val="Times New Roman"/>
        <charset val="134"/>
      </rPr>
      <t>(MVA)</t>
    </r>
  </si>
  <si>
    <r>
      <rPr>
        <sz val="11"/>
        <color theme="1"/>
        <rFont val="宋体"/>
        <charset val="134"/>
      </rPr>
      <t>两相短路电流</t>
    </r>
    <r>
      <rPr>
        <sz val="11"/>
        <color theme="1"/>
        <rFont val="Times New Roman"/>
        <charset val="134"/>
      </rPr>
      <t>=0.866*</t>
    </r>
    <r>
      <rPr>
        <sz val="11"/>
        <color theme="1"/>
        <rFont val="宋体"/>
        <charset val="134"/>
      </rPr>
      <t>三相短路电流</t>
    </r>
  </si>
  <si>
    <r>
      <rPr>
        <sz val="11"/>
        <color theme="1"/>
        <rFont val="宋体"/>
        <charset val="134"/>
      </rPr>
      <t>西柳变</t>
    </r>
    <r>
      <rPr>
        <sz val="11"/>
        <color theme="1"/>
        <rFont val="Times New Roman"/>
        <charset val="134"/>
      </rPr>
      <t>110kV</t>
    </r>
    <r>
      <rPr>
        <sz val="11"/>
        <color theme="1"/>
        <rFont val="宋体"/>
        <charset val="134"/>
      </rPr>
      <t>侧</t>
    </r>
  </si>
  <si>
    <t>110kV电压等级</t>
  </si>
  <si>
    <t>35kV电压等级</t>
  </si>
  <si>
    <t>光伏额定容量/MVA</t>
  </si>
  <si>
    <t>光伏额定电流/kA</t>
  </si>
  <si>
    <t>光伏短路电流/kA</t>
  </si>
  <si>
    <t>电压等级</t>
  </si>
  <si>
    <t>九华变110kV侧</t>
  </si>
  <si>
    <t>额定电压110kV、35kV</t>
  </si>
  <si>
    <t>正序短路阻抗（三相短路）</t>
  </si>
  <si>
    <t>零序短路阻抗（单相短路）</t>
  </si>
  <si>
    <t>基准容量100MVA，基准电压115kV、37kV</t>
  </si>
  <si>
    <r>
      <rPr>
        <sz val="11"/>
        <color theme="1"/>
        <rFont val="宋体"/>
        <charset val="134"/>
        <scheme val="minor"/>
      </rPr>
      <t>正序X</t>
    </r>
    <r>
      <rPr>
        <vertAlign val="subscript"/>
        <sz val="11"/>
        <color theme="1"/>
        <rFont val="宋体"/>
        <charset val="134"/>
        <scheme val="minor"/>
      </rPr>
      <t xml:space="preserve">∑
</t>
    </r>
    <r>
      <rPr>
        <sz val="11"/>
        <color theme="1"/>
        <rFont val="宋体"/>
        <charset val="134"/>
        <scheme val="minor"/>
      </rPr>
      <t>零序X</t>
    </r>
    <r>
      <rPr>
        <vertAlign val="subscript"/>
        <sz val="11"/>
        <color theme="1"/>
        <rFont val="宋体"/>
        <charset val="134"/>
        <scheme val="minor"/>
      </rPr>
      <t>∑0</t>
    </r>
  </si>
  <si>
    <t>三相短路电流=基准电流/正序短路阻抗</t>
  </si>
  <si>
    <t>基准电流=基准容量/1.732/基准电压</t>
  </si>
  <si>
    <r>
      <rPr>
        <sz val="11"/>
        <color theme="1"/>
        <rFont val="宋体"/>
        <charset val="134"/>
        <scheme val="minor"/>
      </rPr>
      <t>三相 1/X</t>
    </r>
    <r>
      <rPr>
        <vertAlign val="subscript"/>
        <sz val="11"/>
        <color theme="1"/>
        <rFont val="宋体"/>
        <charset val="134"/>
      </rPr>
      <t>∑</t>
    </r>
    <r>
      <rPr>
        <sz val="11"/>
        <color theme="1"/>
        <rFont val="宋体"/>
        <charset val="134"/>
        <scheme val="minor"/>
      </rPr>
      <t xml:space="preserve">
单相 3/(2X</t>
    </r>
    <r>
      <rPr>
        <vertAlign val="subscript"/>
        <sz val="11"/>
        <color theme="1"/>
        <rFont val="宋体"/>
        <charset val="134"/>
        <scheme val="minor"/>
      </rPr>
      <t>∑</t>
    </r>
    <r>
      <rPr>
        <sz val="11"/>
        <color theme="1"/>
        <rFont val="宋体"/>
        <charset val="134"/>
        <scheme val="minor"/>
      </rPr>
      <t>+X</t>
    </r>
    <r>
      <rPr>
        <vertAlign val="subscript"/>
        <sz val="11"/>
        <color theme="1"/>
        <rFont val="宋体"/>
        <charset val="134"/>
        <scheme val="minor"/>
      </rPr>
      <t>∑0</t>
    </r>
    <r>
      <rPr>
        <sz val="11"/>
        <color theme="1"/>
        <rFont val="宋体"/>
        <charset val="134"/>
        <scheme val="minor"/>
      </rPr>
      <t>)</t>
    </r>
  </si>
  <si>
    <t>单相短路电流=基准电流*3/（2*正序短路阻抗+零序短路阻抗）</t>
  </si>
  <si>
    <t>系统短路电流/kA</t>
  </si>
  <si>
    <t>总短路电流(系统+光伏)/kA</t>
  </si>
  <si>
    <t>光伏站110kV侧</t>
  </si>
  <si>
    <t>110kV架空线路单位电抗为0.41Ω/km</t>
  </si>
  <si>
    <t>架空线路电抗标幺值=线路长度*单位长度电抗/基准阻抗</t>
  </si>
  <si>
    <t>架空线路零序电抗=2.5*架空线路正序电抗</t>
  </si>
  <si>
    <t>基准阻抗=基准电压的平方/基准容量</t>
  </si>
  <si>
    <t>光伏站35kV侧</t>
  </si>
  <si>
    <t>无</t>
  </si>
  <si>
    <t>变压器电抗值=短路电压百分比(%)/变压器额定容量(MVA)</t>
  </si>
  <si>
    <t>杜泽变110kV侧</t>
  </si>
  <si>
    <t>开化变35kV侧</t>
  </si>
  <si>
    <t>极大方式</t>
  </si>
  <si>
    <t>菖蒲变35kV侧</t>
  </si>
  <si>
    <r>
      <rPr>
        <sz val="11"/>
        <color rgb="FFFF0000"/>
        <rFont val="宋体"/>
        <charset val="134"/>
        <scheme val="minor"/>
      </rPr>
      <t>正序X</t>
    </r>
    <r>
      <rPr>
        <vertAlign val="subscript"/>
        <sz val="11"/>
        <color rgb="FFFF0000"/>
        <rFont val="宋体"/>
        <charset val="134"/>
        <scheme val="minor"/>
      </rPr>
      <t xml:space="preserve">∑
</t>
    </r>
    <r>
      <rPr>
        <sz val="11"/>
        <color rgb="FFFF0000"/>
        <rFont val="宋体"/>
        <charset val="134"/>
        <scheme val="minor"/>
      </rPr>
      <t>零序X</t>
    </r>
    <r>
      <rPr>
        <vertAlign val="subscript"/>
        <sz val="11"/>
        <color rgb="FFFF0000"/>
        <rFont val="宋体"/>
        <charset val="134"/>
        <scheme val="minor"/>
      </rPr>
      <t>∑0</t>
    </r>
  </si>
  <si>
    <r>
      <rPr>
        <sz val="11"/>
        <color rgb="FFFF0000"/>
        <rFont val="宋体"/>
        <charset val="134"/>
        <scheme val="minor"/>
      </rPr>
      <t>三相 1/X</t>
    </r>
    <r>
      <rPr>
        <vertAlign val="subscript"/>
        <sz val="11"/>
        <color rgb="FFFF0000"/>
        <rFont val="宋体"/>
        <charset val="134"/>
      </rPr>
      <t>∑</t>
    </r>
    <r>
      <rPr>
        <sz val="11"/>
        <color rgb="FFFF0000"/>
        <rFont val="宋体"/>
        <charset val="134"/>
        <scheme val="minor"/>
      </rPr>
      <t xml:space="preserve">
单相 3/(2X</t>
    </r>
    <r>
      <rPr>
        <vertAlign val="subscript"/>
        <sz val="11"/>
        <color rgb="FFFF0000"/>
        <rFont val="宋体"/>
        <charset val="134"/>
        <scheme val="minor"/>
      </rPr>
      <t>∑</t>
    </r>
    <r>
      <rPr>
        <sz val="11"/>
        <color rgb="FFFF0000"/>
        <rFont val="宋体"/>
        <charset val="134"/>
        <scheme val="minor"/>
      </rPr>
      <t>+X</t>
    </r>
    <r>
      <rPr>
        <vertAlign val="subscript"/>
        <sz val="11"/>
        <color rgb="FFFF0000"/>
        <rFont val="宋体"/>
        <charset val="134"/>
        <scheme val="minor"/>
      </rPr>
      <t>∑0</t>
    </r>
    <r>
      <rPr>
        <sz val="11"/>
        <color rgb="FFFF0000"/>
        <rFont val="宋体"/>
        <charset val="134"/>
        <scheme val="minor"/>
      </rPr>
      <t>)</t>
    </r>
  </si>
  <si>
    <t>柚香变110kV侧</t>
  </si>
  <si>
    <t>光伏额定功率/MVA</t>
  </si>
  <si>
    <t>R</t>
  </si>
  <si>
    <t>(j)X</t>
  </si>
  <si>
    <t>Z</t>
  </si>
  <si>
    <t>1/X
1/(2X+X0)</t>
  </si>
  <si>
    <t>总短路电流/kA</t>
  </si>
  <si>
    <t>额定电流/kA</t>
  </si>
  <si>
    <t>短路电流/kA</t>
  </si>
  <si>
    <t>10kV电压等级</t>
  </si>
  <si>
    <t>衢州变110kV侧</t>
  </si>
  <si>
    <t>（两相接地短路）</t>
  </si>
  <si>
    <t>零序阻抗/正序阻抗：</t>
  </si>
  <si>
    <t>两相接地短路/单相短路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</si>
</sst>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70C0"/>
      <name val="宋体"/>
      <charset val="134"/>
    </font>
    <font>
      <sz val="11"/>
      <color rgb="FF0070C0"/>
      <name val="Times New Roman"/>
      <charset val="134"/>
    </font>
    <font>
      <sz val="11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rgb="FFFF0000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vertAlign val="subscript"/>
      <sz val="11"/>
      <color theme="1"/>
      <name val="宋体"/>
      <charset val="134"/>
    </font>
    <font>
      <vertAlign val="subscript"/>
      <sz val="11"/>
      <color rgb="FFFF0000"/>
      <name val="宋体"/>
      <charset val="134"/>
    </font>
    <font>
      <vertAlign val="superscript"/>
      <sz val="11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2" fillId="3" borderId="0" xfId="0" applyFont="1" applyFill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1561465</xdr:colOff>
          <xdr:row>9</xdr:row>
          <xdr:rowOff>76200</xdr:rowOff>
        </xdr:from>
        <xdr:to>
          <xdr:col>5</xdr:col>
          <xdr:colOff>3072765</xdr:colOff>
          <xdr:row>10</xdr:row>
          <xdr:rowOff>266700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916035" y="1676400"/>
              <a:ext cx="1511300" cy="635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topLeftCell="A12" workbookViewId="0">
      <selection activeCell="F28" sqref="F28"/>
    </sheetView>
  </sheetViews>
  <sheetFormatPr defaultColWidth="9" defaultRowHeight="14" outlineLevelCol="6"/>
  <cols>
    <col min="1" max="1" width="27.5454545454545" style="7" customWidth="1"/>
    <col min="2" max="3" width="25.3727272727273" style="7" customWidth="1"/>
    <col min="4" max="4" width="15.3727272727273" style="7" customWidth="1"/>
    <col min="5" max="5" width="11.6272727272727" style="7" customWidth="1"/>
    <col min="6" max="6" width="56.9090909090909" style="7" customWidth="1"/>
    <col min="7" max="7" width="62.3636363636364" style="7" customWidth="1"/>
    <col min="8" max="8" width="42.1818181818182" style="7" customWidth="1"/>
    <col min="9" max="9" width="12.6272727272727" style="7"/>
    <col min="10" max="10" width="16" style="7" customWidth="1"/>
    <col min="11" max="11" width="16.2545454545455" style="7" customWidth="1"/>
    <col min="12" max="12" width="14.1272727272727" style="7" customWidth="1"/>
    <col min="13" max="16384" width="9" style="7"/>
  </cols>
  <sheetData>
    <row r="1" spans="1:7">
      <c r="A1" s="7" t="s">
        <v>0</v>
      </c>
      <c r="B1" s="7">
        <f>100/1.732/115</f>
        <v>0.50205843960237</v>
      </c>
      <c r="C1" s="7" t="s">
        <v>1</v>
      </c>
      <c r="G1" s="7" t="s">
        <v>2</v>
      </c>
    </row>
    <row r="2" spans="1:7">
      <c r="A2" s="7" t="s">
        <v>0</v>
      </c>
      <c r="B2" s="7">
        <f>100/1.732/37</f>
        <v>1.56045190687223</v>
      </c>
      <c r="C2" s="7" t="s">
        <v>3</v>
      </c>
      <c r="F2" s="8" t="s">
        <v>4</v>
      </c>
      <c r="G2" s="7" t="s">
        <v>5</v>
      </c>
    </row>
    <row r="3" spans="1:7">
      <c r="F3" s="9"/>
    </row>
    <row r="4" spans="1:7">
      <c r="A4" s="7" t="s">
        <v>6</v>
      </c>
      <c r="B4" s="7" t="s">
        <v>7</v>
      </c>
      <c r="C4" s="7" t="s">
        <v>8</v>
      </c>
      <c r="D4" s="7" t="s">
        <v>9</v>
      </c>
    </row>
    <row r="5" spans="1:7">
      <c r="A5" s="10">
        <f>40/0.95</f>
        <v>42.1052631578947</v>
      </c>
      <c r="B5" s="7">
        <f>A5/1.732/110</f>
        <v>0.221001801164679</v>
      </c>
      <c r="C5" s="7">
        <f>1.5*B5</f>
        <v>0.331502701747019</v>
      </c>
      <c r="D5" s="7" t="s">
        <v>10</v>
      </c>
      <c r="F5" s="8" t="s">
        <v>11</v>
      </c>
      <c r="G5" s="11" t="s">
        <v>12</v>
      </c>
    </row>
    <row r="6" spans="1:7">
      <c r="B6" s="7">
        <f>A5/1.732/35</f>
        <v>0.694577089374707</v>
      </c>
      <c r="C6" s="7">
        <f>1.5*B6</f>
        <v>1.04186563406206</v>
      </c>
      <c r="D6" s="7" t="s">
        <v>13</v>
      </c>
      <c r="F6" s="8" t="s">
        <v>14</v>
      </c>
      <c r="G6" s="12" t="s">
        <v>15</v>
      </c>
    </row>
    <row r="8" spans="1:7">
      <c r="A8" s="7" t="s">
        <v>16</v>
      </c>
    </row>
    <row r="9" spans="1:7">
      <c r="B9" s="7" t="s">
        <v>17</v>
      </c>
      <c r="C9" s="7" t="s">
        <v>18</v>
      </c>
      <c r="D9" s="7" t="s">
        <v>19</v>
      </c>
    </row>
    <row r="10" ht="35" spans="1:7">
      <c r="A10" s="13" t="s">
        <v>20</v>
      </c>
      <c r="B10" s="10">
        <v>0.0382</v>
      </c>
      <c r="C10" s="10">
        <v>0.0228</v>
      </c>
      <c r="D10" s="7">
        <f>C10/B10</f>
        <v>0.596858638743456</v>
      </c>
      <c r="E10" s="7">
        <f>0.5+D10</f>
        <v>1.09685863874346</v>
      </c>
      <c r="F10" s="9" t="s">
        <v>21</v>
      </c>
    </row>
    <row r="11" ht="35" spans="1:7">
      <c r="A11" s="9" t="s">
        <v>22</v>
      </c>
      <c r="B11" s="7">
        <f>1/B10</f>
        <v>26.1780104712042</v>
      </c>
      <c r="C11" s="7">
        <f>3/(2*B10+C10)</f>
        <v>30.241935483871</v>
      </c>
      <c r="D11" s="7">
        <f>SQRT(E10*E10+0.75)*1.732/(D10*2+1)</f>
        <v>1.10339077001151</v>
      </c>
      <c r="F11" s="13" t="s">
        <v>23</v>
      </c>
      <c r="G11" s="14" t="s">
        <v>24</v>
      </c>
    </row>
    <row r="12" ht="28" spans="1:7">
      <c r="A12" s="7" t="s">
        <v>25</v>
      </c>
      <c r="B12" s="7">
        <f>B11*B1</f>
        <v>13.1428910890673</v>
      </c>
      <c r="C12" s="7">
        <f>C11*B1</f>
        <v>15.1832189395878</v>
      </c>
      <c r="D12" s="7">
        <f>D11*B12</f>
        <v>14.5017447189434</v>
      </c>
      <c r="F12" s="13" t="s">
        <v>26</v>
      </c>
      <c r="G12" s="14" t="s">
        <v>27</v>
      </c>
    </row>
    <row r="13" spans="1:7">
      <c r="A13" s="7" t="s">
        <v>28</v>
      </c>
      <c r="B13" s="7">
        <f>B12+C5</f>
        <v>13.4743937908143</v>
      </c>
      <c r="C13" s="7">
        <f>C12+C5</f>
        <v>15.5147216413348</v>
      </c>
      <c r="D13" s="7">
        <f>D12+C5</f>
        <v>14.8332474206904</v>
      </c>
    </row>
    <row r="15" spans="1:7">
      <c r="A15" s="7" t="s">
        <v>29</v>
      </c>
      <c r="G15" s="11" t="s">
        <v>30</v>
      </c>
    </row>
    <row r="16" spans="1:7">
      <c r="B16" s="7" t="s">
        <v>17</v>
      </c>
      <c r="C16" s="7" t="s">
        <v>18</v>
      </c>
      <c r="D16" s="7" t="s">
        <v>19</v>
      </c>
      <c r="G16" s="15" t="s">
        <v>31</v>
      </c>
    </row>
    <row r="17" ht="35" spans="1:7">
      <c r="A17" s="9" t="s">
        <v>20</v>
      </c>
      <c r="B17" s="10">
        <f>B10+(7.89+0.88)*0.41/F18</f>
        <v>0.0653886578449905</v>
      </c>
      <c r="C17" s="10">
        <f>C10+(7.89+0.88)*0.41*100/115/115*2.5</f>
        <v>0.0907716446124764</v>
      </c>
      <c r="D17" s="7">
        <f>C17/B17</f>
        <v>1.38818638589675</v>
      </c>
      <c r="E17" s="7">
        <f>0.5+D17</f>
        <v>1.88818638589675</v>
      </c>
      <c r="F17" s="14" t="s">
        <v>32</v>
      </c>
      <c r="G17" s="14" t="s">
        <v>33</v>
      </c>
    </row>
    <row r="18" ht="35" spans="1:7">
      <c r="A18" s="9" t="s">
        <v>22</v>
      </c>
      <c r="B18" s="7">
        <f>1/B17</f>
        <v>15.2931721334698</v>
      </c>
      <c r="C18" s="7">
        <f>3/(2*B17+C17)</f>
        <v>13.5410249540527</v>
      </c>
      <c r="D18" s="7">
        <f>SQRT(E17*E17+0.75)*1.732/(D17*2+1)</f>
        <v>0.952743295595777</v>
      </c>
      <c r="F18" s="16">
        <f>115*115/100</f>
        <v>132.25</v>
      </c>
      <c r="G18" s="14" t="s">
        <v>34</v>
      </c>
    </row>
    <row r="19" ht="28" spans="1:7">
      <c r="A19" s="7" t="s">
        <v>25</v>
      </c>
      <c r="B19" s="7">
        <f>B18*B1</f>
        <v>7.67806613790029</v>
      </c>
      <c r="C19" s="7">
        <f>C18*B1</f>
        <v>6.79838585904844</v>
      </c>
      <c r="D19" s="7">
        <f>D18*B19</f>
        <v>7.31522603602546</v>
      </c>
      <c r="F19" s="9" t="s">
        <v>26</v>
      </c>
    </row>
    <row r="20" spans="1:7">
      <c r="A20" s="7" t="s">
        <v>28</v>
      </c>
      <c r="B20" s="7">
        <f>B19+C5</f>
        <v>8.00956883964731</v>
      </c>
      <c r="C20" s="7">
        <f>C19+C5</f>
        <v>7.12988856079545</v>
      </c>
      <c r="D20" s="7">
        <f>D19+C5</f>
        <v>7.64672873777248</v>
      </c>
    </row>
    <row r="22" spans="1:7">
      <c r="A22" s="7" t="s">
        <v>35</v>
      </c>
    </row>
    <row r="23" spans="1:7">
      <c r="B23" s="7" t="s">
        <v>17</v>
      </c>
      <c r="C23" s="7" t="s">
        <v>18</v>
      </c>
      <c r="D23" s="7" t="s">
        <v>36</v>
      </c>
    </row>
    <row r="24" ht="35" spans="1:7">
      <c r="A24" s="9" t="s">
        <v>20</v>
      </c>
      <c r="B24" s="10">
        <f>B17+10.5/50</f>
        <v>0.275388657844991</v>
      </c>
      <c r="C24" s="7" t="s">
        <v>37</v>
      </c>
      <c r="F24" s="14" t="s">
        <v>38</v>
      </c>
    </row>
    <row r="25" ht="35" spans="1:7">
      <c r="A25" s="9" t="s">
        <v>22</v>
      </c>
      <c r="B25" s="7">
        <f>1/B24</f>
        <v>3.63123161217073</v>
      </c>
      <c r="C25" s="7" t="s">
        <v>37</v>
      </c>
      <c r="F25" s="7">
        <f>10.5/50</f>
        <v>0.21</v>
      </c>
    </row>
    <row r="26" spans="1:7">
      <c r="A26" s="7" t="s">
        <v>25</v>
      </c>
      <c r="B26" s="7">
        <f>B25*B2</f>
        <v>5.66636229350655</v>
      </c>
      <c r="C26" s="7" t="s">
        <v>37</v>
      </c>
      <c r="D26" s="7">
        <f>B26*0.866</f>
        <v>4.90706974617667</v>
      </c>
      <c r="F26" s="14" t="s">
        <v>39</v>
      </c>
    </row>
    <row r="27" spans="1:7">
      <c r="A27" s="7" t="s">
        <v>28</v>
      </c>
      <c r="B27" s="7">
        <f>B26+C6</f>
        <v>6.70822792756861</v>
      </c>
      <c r="C27" s="7" t="s">
        <v>37</v>
      </c>
      <c r="D27" s="7">
        <f>D26+C6</f>
        <v>5.94893538023873</v>
      </c>
    </row>
    <row r="29" spans="1:7">
      <c r="A29" s="7" t="s">
        <v>40</v>
      </c>
    </row>
    <row r="30" spans="1:7">
      <c r="B30" s="7" t="s">
        <v>17</v>
      </c>
      <c r="C30" s="7" t="s">
        <v>18</v>
      </c>
      <c r="D30" s="7" t="s">
        <v>19</v>
      </c>
    </row>
    <row r="31" ht="35" spans="1:7">
      <c r="A31" s="9" t="s">
        <v>20</v>
      </c>
      <c r="B31" s="10">
        <v>0.0664</v>
      </c>
      <c r="C31" s="10">
        <v>0.0902</v>
      </c>
      <c r="D31" s="7">
        <f>C31/B31</f>
        <v>1.35843373493976</v>
      </c>
      <c r="E31" s="7">
        <f>0.5+D31</f>
        <v>1.85843373493976</v>
      </c>
    </row>
    <row r="32" ht="35" spans="1:7">
      <c r="A32" s="9" t="s">
        <v>22</v>
      </c>
      <c r="B32" s="7">
        <f>1/B31</f>
        <v>15.0602409638554</v>
      </c>
      <c r="C32" s="7">
        <f>3/(2*B31+C31)</f>
        <v>13.4529147982063</v>
      </c>
      <c r="D32" s="7">
        <f>SQRT(E31*E31+0.75)*1.732/(D31*2+1)</f>
        <v>0.955411780953985</v>
      </c>
    </row>
    <row r="33" spans="1:4">
      <c r="A33" s="7" t="s">
        <v>25</v>
      </c>
      <c r="B33" s="7">
        <f>B32*B1</f>
        <v>7.56112107834894</v>
      </c>
      <c r="C33" s="7">
        <f>C32*B1</f>
        <v>6.75414941169108</v>
      </c>
      <c r="D33" s="7">
        <f>D32*B33</f>
        <v>7.22398415547408</v>
      </c>
    </row>
    <row r="34" spans="1:4">
      <c r="A34" s="7" t="s">
        <v>28</v>
      </c>
      <c r="B34" s="7">
        <f>B33+C5</f>
        <v>7.89262378009596</v>
      </c>
      <c r="C34" s="7">
        <f>C33+C5</f>
        <v>7.08565211343809</v>
      </c>
      <c r="D34" s="7">
        <f>D33+C5</f>
        <v>7.5554868572211</v>
      </c>
    </row>
  </sheetData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KSEE3" r:id="rId3">
          <objectPr defaultSize="0" r:id="rId4">
            <anchor moveWithCells="1">
              <from>
                <xdr:col>5</xdr:col>
                <xdr:colOff>1561465</xdr:colOff>
                <xdr:row>9</xdr:row>
                <xdr:rowOff>76200</xdr:rowOff>
              </from>
              <to>
                <xdr:col>5</xdr:col>
                <xdr:colOff>3072765</xdr:colOff>
                <xdr:row>10</xdr:row>
                <xdr:rowOff>266700</xdr:rowOff>
              </to>
            </anchor>
          </objectPr>
        </oleObject>
      </mc:Choice>
      <mc:Fallback>
        <oleObject shapeId="1025" progId="Equation.KSEE3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A5" sqref="A5"/>
    </sheetView>
  </sheetViews>
  <sheetFormatPr defaultColWidth="9" defaultRowHeight="14" outlineLevelCol="5"/>
  <cols>
    <col min="1" max="1" width="27.5454545454545" customWidth="1"/>
    <col min="2" max="3" width="25.3727272727273" customWidth="1"/>
    <col min="4" max="4" width="15.3727272727273" customWidth="1"/>
    <col min="5" max="5" width="54" customWidth="1"/>
    <col min="6" max="6" width="39.3727272727273" customWidth="1"/>
    <col min="7" max="7" width="12.6272727272727"/>
    <col min="8" max="8" width="16" customWidth="1"/>
    <col min="9" max="9" width="16.2545454545455" customWidth="1"/>
    <col min="10" max="10" width="14.1272727272727" customWidth="1"/>
  </cols>
  <sheetData>
    <row r="1" spans="1:6">
      <c r="A1" t="s">
        <v>0</v>
      </c>
      <c r="B1">
        <f>100/1.732/115</f>
        <v>0.50205843960237</v>
      </c>
      <c r="C1" t="s">
        <v>41</v>
      </c>
    </row>
    <row r="2" spans="1:6">
      <c r="A2" t="s">
        <v>0</v>
      </c>
      <c r="B2">
        <f>100/1.732/37</f>
        <v>1.56045190687223</v>
      </c>
      <c r="C2" t="s">
        <v>42</v>
      </c>
    </row>
    <row r="4" spans="1:6">
      <c r="A4" t="s">
        <v>43</v>
      </c>
      <c r="B4" t="s">
        <v>44</v>
      </c>
      <c r="C4" t="s">
        <v>45</v>
      </c>
      <c r="D4" t="s">
        <v>46</v>
      </c>
    </row>
    <row r="5" spans="1:6">
      <c r="A5" s="2">
        <v>80</v>
      </c>
      <c r="B5">
        <f>A5/1.732/110</f>
        <v>0.419903422212891</v>
      </c>
      <c r="C5">
        <f>1.5*B5</f>
        <v>0.629855133319337</v>
      </c>
      <c r="D5" t="s">
        <v>10</v>
      </c>
    </row>
    <row r="6" spans="1:6">
      <c r="B6">
        <f>A5/1.732/35</f>
        <v>1.31969646981194</v>
      </c>
      <c r="C6">
        <f>1.5*B6</f>
        <v>1.97954470471791</v>
      </c>
      <c r="D6" t="s">
        <v>13</v>
      </c>
    </row>
    <row r="8" spans="1:6">
      <c r="A8" t="s">
        <v>47</v>
      </c>
      <c r="E8" t="s">
        <v>48</v>
      </c>
    </row>
    <row r="9" spans="1:6">
      <c r="B9" t="s">
        <v>49</v>
      </c>
      <c r="C9" t="s">
        <v>50</v>
      </c>
      <c r="E9" t="s">
        <v>51</v>
      </c>
    </row>
    <row r="10" ht="33" spans="1:6">
      <c r="A10" s="1" t="s">
        <v>52</v>
      </c>
      <c r="B10" s="2">
        <v>0.036</v>
      </c>
      <c r="C10" s="2">
        <v>0.0416</v>
      </c>
      <c r="E10" t="s">
        <v>53</v>
      </c>
      <c r="F10" t="s">
        <v>54</v>
      </c>
    </row>
    <row r="11" ht="33" spans="1:6">
      <c r="A11" s="1" t="s">
        <v>55</v>
      </c>
      <c r="B11">
        <f>1/B10</f>
        <v>27.7777777777778</v>
      </c>
      <c r="C11">
        <f>3/(2*B10+C10)</f>
        <v>26.4084507042254</v>
      </c>
      <c r="E11" t="s">
        <v>56</v>
      </c>
    </row>
    <row r="12" spans="1:6">
      <c r="A12" t="s">
        <v>57</v>
      </c>
      <c r="B12">
        <f>B11*B1</f>
        <v>13.9460677667325</v>
      </c>
      <c r="C12">
        <f>C11*B1</f>
        <v>13.2585855528795</v>
      </c>
    </row>
    <row r="13" spans="1:6">
      <c r="A13" t="s">
        <v>58</v>
      </c>
      <c r="B13">
        <f>B12+C5</f>
        <v>14.5759229000518</v>
      </c>
      <c r="C13">
        <f>C12+C5</f>
        <v>13.8884406861988</v>
      </c>
    </row>
    <row r="15" spans="1:6">
      <c r="A15" t="s">
        <v>59</v>
      </c>
    </row>
    <row r="16" spans="1:6">
      <c r="B16" t="s">
        <v>49</v>
      </c>
      <c r="C16" t="s">
        <v>50</v>
      </c>
      <c r="E16" t="s">
        <v>60</v>
      </c>
    </row>
    <row r="17" ht="33" spans="1:6">
      <c r="A17" s="1" t="s">
        <v>52</v>
      </c>
      <c r="B17" s="2">
        <f>B31+3.74*0.41*100/115/115</f>
        <v>0.0885947069943289</v>
      </c>
      <c r="C17" s="2">
        <f>C31+3.74*0.41*100/115/115*2.5</f>
        <v>0.107086767485822</v>
      </c>
      <c r="E17" t="s">
        <v>61</v>
      </c>
      <c r="F17" t="s">
        <v>62</v>
      </c>
    </row>
    <row r="18" ht="33" spans="1:6">
      <c r="A18" s="1" t="s">
        <v>55</v>
      </c>
      <c r="B18">
        <f>1/B17</f>
        <v>11.2873560275335</v>
      </c>
      <c r="C18">
        <f>3/(2*B17+C17)</f>
        <v>10.5531176915338</v>
      </c>
      <c r="E18" t="s">
        <v>63</v>
      </c>
    </row>
    <row r="19" spans="1:6">
      <c r="A19" t="s">
        <v>57</v>
      </c>
      <c r="B19">
        <f>B18*B1</f>
        <v>5.66691235441986</v>
      </c>
      <c r="C19">
        <f>C18*B1</f>
        <v>5.29828180115161</v>
      </c>
    </row>
    <row r="20" spans="1:6">
      <c r="A20" t="s">
        <v>58</v>
      </c>
      <c r="B20">
        <f>B19+C5</f>
        <v>6.29676748773919</v>
      </c>
      <c r="C20">
        <f>C19+C5</f>
        <v>5.92813693447094</v>
      </c>
    </row>
    <row r="22" spans="1:6">
      <c r="A22" t="s">
        <v>64</v>
      </c>
    </row>
    <row r="23" spans="1:6">
      <c r="B23" t="s">
        <v>49</v>
      </c>
      <c r="C23" t="s">
        <v>50</v>
      </c>
    </row>
    <row r="24" ht="33" spans="1:6">
      <c r="A24" s="1" t="s">
        <v>52</v>
      </c>
      <c r="B24" s="2">
        <f>B17+17/80</f>
        <v>0.301094706994329</v>
      </c>
      <c r="C24" t="s">
        <v>65</v>
      </c>
      <c r="E24" t="s">
        <v>66</v>
      </c>
    </row>
    <row r="25" ht="33" spans="1:6">
      <c r="A25" s="1" t="s">
        <v>55</v>
      </c>
      <c r="B25">
        <f>1/B24</f>
        <v>3.32121414548425</v>
      </c>
      <c r="C25" t="s">
        <v>65</v>
      </c>
    </row>
    <row r="26" spans="1:6">
      <c r="A26" t="s">
        <v>57</v>
      </c>
      <c r="B26">
        <f>B25*B2</f>
        <v>5.18259494645192</v>
      </c>
      <c r="C26" t="s">
        <v>65</v>
      </c>
    </row>
    <row r="27" spans="1:6">
      <c r="A27" t="s">
        <v>58</v>
      </c>
      <c r="B27">
        <f>B26+C6</f>
        <v>7.16213965116983</v>
      </c>
      <c r="C27" t="s">
        <v>65</v>
      </c>
    </row>
    <row r="29" spans="1:6">
      <c r="A29" t="s">
        <v>67</v>
      </c>
    </row>
    <row r="30" spans="1:6">
      <c r="B30" t="s">
        <v>49</v>
      </c>
      <c r="C30" t="s">
        <v>50</v>
      </c>
    </row>
    <row r="31" ht="33" spans="1:6">
      <c r="A31" s="1" t="s">
        <v>52</v>
      </c>
      <c r="B31" s="2">
        <v>0.077</v>
      </c>
      <c r="C31" s="2">
        <v>0.0781</v>
      </c>
    </row>
    <row r="32" ht="33" spans="1:6">
      <c r="A32" s="1" t="s">
        <v>55</v>
      </c>
      <c r="B32">
        <f>1/B31</f>
        <v>12.987012987013</v>
      </c>
      <c r="C32">
        <f>3/(2*B31+C31)</f>
        <v>12.92546316243</v>
      </c>
    </row>
    <row r="33" spans="1:3">
      <c r="A33" t="s">
        <v>57</v>
      </c>
      <c r="B33">
        <f>B32*B1</f>
        <v>6.52023947535545</v>
      </c>
      <c r="C33">
        <f>C32*B1</f>
        <v>6.48933786646751</v>
      </c>
    </row>
    <row r="34" spans="1:3">
      <c r="A34" t="s">
        <v>58</v>
      </c>
      <c r="B34">
        <f>B33+C5</f>
        <v>7.15009460867479</v>
      </c>
      <c r="C34">
        <f>C33+C5</f>
        <v>7.11919299978685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17" sqref="B17"/>
    </sheetView>
  </sheetViews>
  <sheetFormatPr defaultColWidth="9" defaultRowHeight="14" outlineLevelCol="5"/>
  <cols>
    <col min="1" max="1" width="23.7545454545455" customWidth="1"/>
    <col min="2" max="3" width="25.3727272727273" customWidth="1"/>
    <col min="4" max="4" width="15.3727272727273" customWidth="1"/>
    <col min="5" max="5" width="54" customWidth="1"/>
    <col min="6" max="6" width="39.3727272727273" customWidth="1"/>
    <col min="7" max="7" width="12.6272727272727"/>
    <col min="8" max="8" width="16" customWidth="1"/>
    <col min="9" max="9" width="16.2545454545455" customWidth="1"/>
    <col min="10" max="10" width="14.1272727272727" customWidth="1"/>
  </cols>
  <sheetData>
    <row r="1" spans="1:6">
      <c r="A1" t="s">
        <v>0</v>
      </c>
      <c r="B1">
        <f>100/1.732/115</f>
        <v>0.50205843960237</v>
      </c>
      <c r="C1" t="s">
        <v>41</v>
      </c>
    </row>
    <row r="2" spans="1:6">
      <c r="A2" t="s">
        <v>0</v>
      </c>
      <c r="B2">
        <f>100/1.732/37</f>
        <v>1.56045190687223</v>
      </c>
      <c r="C2" t="s">
        <v>42</v>
      </c>
    </row>
    <row r="4" spans="1:6">
      <c r="A4" t="s">
        <v>43</v>
      </c>
      <c r="B4" t="s">
        <v>44</v>
      </c>
      <c r="C4" t="s">
        <v>45</v>
      </c>
      <c r="D4" t="s">
        <v>46</v>
      </c>
    </row>
    <row r="5" spans="1:6">
      <c r="A5" s="2">
        <v>28.5</v>
      </c>
      <c r="B5">
        <f>A5/1.732/110</f>
        <v>0.149590594163342</v>
      </c>
      <c r="C5">
        <f>1.5*B5</f>
        <v>0.224385891245014</v>
      </c>
      <c r="D5" t="s">
        <v>10</v>
      </c>
    </row>
    <row r="6" spans="1:6">
      <c r="B6">
        <f>A5/1.732/35</f>
        <v>0.470141867370505</v>
      </c>
      <c r="C6">
        <f>1.5*B6</f>
        <v>0.705212801055757</v>
      </c>
      <c r="D6" t="s">
        <v>13</v>
      </c>
    </row>
    <row r="8" spans="1:6">
      <c r="A8" t="s">
        <v>68</v>
      </c>
      <c r="B8" t="s">
        <v>69</v>
      </c>
      <c r="C8" t="s">
        <v>69</v>
      </c>
      <c r="E8" t="s">
        <v>48</v>
      </c>
    </row>
    <row r="9" spans="1:6">
      <c r="B9" t="s">
        <v>49</v>
      </c>
      <c r="C9" s="4" t="s">
        <v>50</v>
      </c>
      <c r="E9" t="s">
        <v>51</v>
      </c>
    </row>
    <row r="10" ht="33" spans="1:6">
      <c r="A10" s="1" t="s">
        <v>52</v>
      </c>
      <c r="B10" s="2">
        <v>0.3056</v>
      </c>
      <c r="C10" s="5" t="s">
        <v>65</v>
      </c>
      <c r="E10" t="s">
        <v>53</v>
      </c>
      <c r="F10" t="s">
        <v>54</v>
      </c>
    </row>
    <row r="11" ht="33" spans="1:6">
      <c r="A11" s="1" t="s">
        <v>55</v>
      </c>
      <c r="B11">
        <f>1/B10</f>
        <v>3.27225130890052</v>
      </c>
      <c r="C11" s="4" t="e">
        <f>3/(2*B10+C10)</f>
        <v>#VALUE!</v>
      </c>
      <c r="E11" t="s">
        <v>56</v>
      </c>
    </row>
    <row r="12" spans="1:6">
      <c r="A12" t="s">
        <v>57</v>
      </c>
      <c r="B12">
        <f>B11*B2</f>
        <v>5.10619079473897</v>
      </c>
      <c r="C12" s="4" t="e">
        <f>C11*B1</f>
        <v>#VALUE!</v>
      </c>
    </row>
    <row r="13" spans="1:6">
      <c r="A13" t="s">
        <v>58</v>
      </c>
      <c r="B13">
        <f>B12+C6</f>
        <v>5.81140359579473</v>
      </c>
      <c r="C13" s="4" t="e">
        <f>C12+C5</f>
        <v>#VALUE!</v>
      </c>
    </row>
    <row r="14" spans="1:6">
      <c r="C14" s="4"/>
    </row>
    <row r="15" spans="1:6">
      <c r="A15" t="s">
        <v>70</v>
      </c>
      <c r="C15" s="4"/>
    </row>
    <row r="16" spans="1:6">
      <c r="B16" t="s">
        <v>49</v>
      </c>
      <c r="C16" s="4" t="s">
        <v>50</v>
      </c>
      <c r="E16" t="s">
        <v>60</v>
      </c>
    </row>
    <row r="17" ht="33" spans="1:6">
      <c r="A17" s="1" t="s">
        <v>52</v>
      </c>
      <c r="B17" s="2">
        <f>B10+19.01*0.39*100/37/37</f>
        <v>0.847155880204529</v>
      </c>
      <c r="C17" s="5" t="e">
        <f>C10+(15+8)*0.41*100/115/115*2.5</f>
        <v>#VALUE!</v>
      </c>
      <c r="E17" t="s">
        <v>61</v>
      </c>
      <c r="F17" t="s">
        <v>62</v>
      </c>
    </row>
    <row r="18" ht="33" spans="1:6">
      <c r="A18" s="1" t="s">
        <v>55</v>
      </c>
      <c r="B18">
        <f>1/B17</f>
        <v>1.18042030205654</v>
      </c>
      <c r="C18" s="4" t="e">
        <f>3/(2*B17+C17)</f>
        <v>#VALUE!</v>
      </c>
      <c r="E18" t="s">
        <v>63</v>
      </c>
    </row>
    <row r="19" spans="1:6">
      <c r="A19" t="s">
        <v>57</v>
      </c>
      <c r="B19">
        <f>B18*B2</f>
        <v>1.84198911125481</v>
      </c>
      <c r="C19" s="4" t="e">
        <f>C18*B1</f>
        <v>#VALUE!</v>
      </c>
    </row>
    <row r="20" spans="1:6">
      <c r="A20" t="s">
        <v>58</v>
      </c>
      <c r="B20">
        <f>B19+C6</f>
        <v>2.54720191231057</v>
      </c>
      <c r="C20" s="4" t="e">
        <f>C19+C5</f>
        <v>#VALUE!</v>
      </c>
    </row>
    <row r="21" spans="1:6">
      <c r="C21" s="4"/>
    </row>
    <row r="22" spans="1:6">
      <c r="A22" s="4" t="s">
        <v>65</v>
      </c>
      <c r="B22" s="4"/>
      <c r="C22" s="4"/>
    </row>
    <row r="23" spans="1:6">
      <c r="A23" s="4"/>
      <c r="B23" s="4" t="s">
        <v>49</v>
      </c>
      <c r="C23" s="4" t="s">
        <v>50</v>
      </c>
    </row>
    <row r="24" ht="33" spans="1:6">
      <c r="A24" s="6" t="s">
        <v>71</v>
      </c>
      <c r="B24" s="5" t="s">
        <v>65</v>
      </c>
      <c r="C24" s="4" t="s">
        <v>65</v>
      </c>
      <c r="E24" t="s">
        <v>66</v>
      </c>
    </row>
    <row r="25" ht="33" spans="1:6">
      <c r="A25" s="6" t="s">
        <v>72</v>
      </c>
      <c r="B25" s="4" t="e">
        <f>1/B24</f>
        <v>#VALUE!</v>
      </c>
      <c r="C25" s="4" t="s">
        <v>65</v>
      </c>
    </row>
    <row r="26" spans="1:6">
      <c r="A26" s="4" t="s">
        <v>57</v>
      </c>
      <c r="B26" s="4" t="e">
        <f>B25*B2</f>
        <v>#VALUE!</v>
      </c>
      <c r="C26" s="4" t="s">
        <v>65</v>
      </c>
    </row>
    <row r="27" spans="1:6">
      <c r="A27" s="4" t="s">
        <v>58</v>
      </c>
      <c r="B27" s="4" t="e">
        <f>B26+C6</f>
        <v>#VALUE!</v>
      </c>
      <c r="C27" s="4" t="s">
        <v>65</v>
      </c>
    </row>
    <row r="29" spans="1:6">
      <c r="A29" t="s">
        <v>64</v>
      </c>
      <c r="C29" s="4"/>
    </row>
    <row r="30" spans="1:6">
      <c r="B30" t="s">
        <v>49</v>
      </c>
      <c r="C30" s="4" t="s">
        <v>50</v>
      </c>
    </row>
    <row r="31" ht="33" spans="1:6">
      <c r="A31" s="1" t="s">
        <v>52</v>
      </c>
      <c r="B31" s="2">
        <f>B17+5*0.39*100/37/37</f>
        <v>0.989595617238861</v>
      </c>
      <c r="C31" s="5" t="e">
        <f>C24+(15+8)*0.41*100/115/115*2.5</f>
        <v>#VALUE!</v>
      </c>
    </row>
    <row r="32" ht="33" spans="1:6">
      <c r="A32" s="1" t="s">
        <v>55</v>
      </c>
      <c r="B32">
        <f>1/B31</f>
        <v>1.01051377207002</v>
      </c>
      <c r="C32" s="4" t="e">
        <f>3/(2*B31+C31)</f>
        <v>#VALUE!</v>
      </c>
    </row>
    <row r="33" spans="1:3">
      <c r="A33" t="s">
        <v>57</v>
      </c>
      <c r="B33">
        <f>B32*B2</f>
        <v>1.57685814254731</v>
      </c>
      <c r="C33" s="4" t="e">
        <f>C32*B15</f>
        <v>#VALUE!</v>
      </c>
    </row>
    <row r="34" spans="1:3">
      <c r="A34" t="s">
        <v>58</v>
      </c>
      <c r="B34">
        <f>B33+C6</f>
        <v>2.28207094360307</v>
      </c>
      <c r="C34" s="4" t="e">
        <f>C33+C19</f>
        <v>#VALUE!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5" sqref="A5"/>
    </sheetView>
  </sheetViews>
  <sheetFormatPr defaultColWidth="9" defaultRowHeight="14" outlineLevelCol="5"/>
  <cols>
    <col min="1" max="1" width="23.7545454545455" customWidth="1"/>
    <col min="2" max="3" width="25.3727272727273" customWidth="1"/>
    <col min="4" max="4" width="15.3727272727273" customWidth="1"/>
    <col min="5" max="5" width="54" customWidth="1"/>
    <col min="6" max="6" width="39.3727272727273" customWidth="1"/>
    <col min="7" max="7" width="12.6272727272727"/>
    <col min="8" max="8" width="16" customWidth="1"/>
    <col min="9" max="9" width="16.2545454545455" customWidth="1"/>
    <col min="10" max="10" width="14.1272727272727" customWidth="1"/>
  </cols>
  <sheetData>
    <row r="1" spans="1:6">
      <c r="A1" t="s">
        <v>0</v>
      </c>
      <c r="B1">
        <f>100/1.732/115</f>
        <v>0.50205843960237</v>
      </c>
      <c r="C1" t="s">
        <v>41</v>
      </c>
    </row>
    <row r="2" spans="1:6">
      <c r="A2" t="s">
        <v>0</v>
      </c>
      <c r="B2">
        <f>100/1.732/37</f>
        <v>1.56045190687223</v>
      </c>
      <c r="C2" t="s">
        <v>42</v>
      </c>
    </row>
    <row r="4" spans="1:6">
      <c r="A4" t="s">
        <v>43</v>
      </c>
      <c r="B4" t="s">
        <v>44</v>
      </c>
      <c r="C4" t="s">
        <v>45</v>
      </c>
      <c r="D4" t="s">
        <v>46</v>
      </c>
    </row>
    <row r="5" spans="1:6">
      <c r="A5" s="2">
        <v>93.1</v>
      </c>
      <c r="B5">
        <f>A5/1.732/110</f>
        <v>0.488662607600252</v>
      </c>
      <c r="C5">
        <f>1.5*B5</f>
        <v>0.732993911400378</v>
      </c>
      <c r="D5" t="s">
        <v>10</v>
      </c>
    </row>
    <row r="6" spans="1:6">
      <c r="B6">
        <f>A5/1.732/35</f>
        <v>1.53579676674365</v>
      </c>
      <c r="C6">
        <f>1.5*B6</f>
        <v>2.30369515011547</v>
      </c>
      <c r="D6" t="s">
        <v>13</v>
      </c>
    </row>
    <row r="8" spans="1:6">
      <c r="A8" t="s">
        <v>73</v>
      </c>
      <c r="E8" t="s">
        <v>48</v>
      </c>
    </row>
    <row r="9" spans="1:6">
      <c r="B9" t="s">
        <v>49</v>
      </c>
      <c r="C9" t="s">
        <v>50</v>
      </c>
      <c r="E9" t="s">
        <v>51</v>
      </c>
    </row>
    <row r="10" ht="33" spans="1:6">
      <c r="A10" s="1" t="s">
        <v>52</v>
      </c>
      <c r="B10" s="2">
        <v>0.0318</v>
      </c>
      <c r="C10" s="2">
        <v>0.026</v>
      </c>
      <c r="E10" t="s">
        <v>53</v>
      </c>
      <c r="F10" t="s">
        <v>54</v>
      </c>
    </row>
    <row r="11" ht="33" spans="1:6">
      <c r="A11" s="1" t="s">
        <v>55</v>
      </c>
      <c r="B11">
        <f>1/B10</f>
        <v>31.4465408805031</v>
      </c>
      <c r="C11">
        <f>3/(2*B10+C10)</f>
        <v>33.4821428571429</v>
      </c>
      <c r="E11" t="s">
        <v>56</v>
      </c>
    </row>
    <row r="12" spans="1:6">
      <c r="A12" t="s">
        <v>57</v>
      </c>
      <c r="B12">
        <f>B11*B1</f>
        <v>15.7880012453575</v>
      </c>
      <c r="C12">
        <f>C11*B1</f>
        <v>16.8099923974008</v>
      </c>
    </row>
    <row r="13" spans="1:6">
      <c r="A13" t="s">
        <v>58</v>
      </c>
      <c r="B13">
        <f>B12+C5</f>
        <v>16.5209951567579</v>
      </c>
      <c r="C13">
        <f>C12+C5</f>
        <v>17.5429863088011</v>
      </c>
    </row>
    <row r="15" spans="1:6">
      <c r="A15" t="s">
        <v>59</v>
      </c>
    </row>
    <row r="16" spans="1:6">
      <c r="B16" t="s">
        <v>49</v>
      </c>
      <c r="C16" t="s">
        <v>50</v>
      </c>
      <c r="E16" t="s">
        <v>60</v>
      </c>
    </row>
    <row r="17" ht="33" spans="1:6">
      <c r="A17" s="1" t="s">
        <v>52</v>
      </c>
      <c r="B17" s="2">
        <f>B10+(15+8)*0.41*100/115/115</f>
        <v>0.103104347826087</v>
      </c>
      <c r="C17" s="2">
        <f>C10+(15+8)*0.41*100/115/115*2.5</f>
        <v>0.204260869565217</v>
      </c>
      <c r="E17" t="s">
        <v>61</v>
      </c>
      <c r="F17" t="s">
        <v>62</v>
      </c>
    </row>
    <row r="18" ht="33" spans="1:6">
      <c r="A18" s="1" t="s">
        <v>55</v>
      </c>
      <c r="B18">
        <f>1/B17</f>
        <v>9.69891203508476</v>
      </c>
      <c r="C18">
        <f>3/(2*B17+C17)</f>
        <v>7.3087026523176</v>
      </c>
      <c r="E18" t="s">
        <v>63</v>
      </c>
    </row>
    <row r="19" spans="1:6">
      <c r="A19" t="s">
        <v>57</v>
      </c>
      <c r="B19">
        <f>B18*B1</f>
        <v>4.8694206421753</v>
      </c>
      <c r="C19">
        <f>C18*B1</f>
        <v>3.66939584914027</v>
      </c>
    </row>
    <row r="20" spans="1:6">
      <c r="A20" t="s">
        <v>58</v>
      </c>
      <c r="B20">
        <f>B19+C5</f>
        <v>5.60241455357568</v>
      </c>
      <c r="C20">
        <f>C19+C5</f>
        <v>4.40238976054065</v>
      </c>
    </row>
    <row r="22" spans="1:6">
      <c r="A22" t="s">
        <v>64</v>
      </c>
    </row>
    <row r="23" spans="1:6">
      <c r="B23" t="s">
        <v>49</v>
      </c>
      <c r="C23" t="s">
        <v>50</v>
      </c>
    </row>
    <row r="24" ht="33" spans="1:6">
      <c r="A24" s="1" t="s">
        <v>52</v>
      </c>
      <c r="B24" s="2">
        <f>B17+18/100</f>
        <v>0.283104347826087</v>
      </c>
      <c r="C24" t="s">
        <v>65</v>
      </c>
      <c r="E24" t="s">
        <v>66</v>
      </c>
    </row>
    <row r="25" ht="33" spans="1:6">
      <c r="A25" s="1" t="s">
        <v>55</v>
      </c>
      <c r="B25">
        <f>1/B24</f>
        <v>3.53226648646988</v>
      </c>
      <c r="C25" t="s">
        <v>65</v>
      </c>
    </row>
    <row r="26" spans="1:6">
      <c r="A26" t="s">
        <v>57</v>
      </c>
      <c r="B26">
        <f>B25*B2</f>
        <v>5.5119319743928</v>
      </c>
      <c r="C26" t="s">
        <v>65</v>
      </c>
    </row>
    <row r="27" spans="1:6">
      <c r="A27" t="s">
        <v>58</v>
      </c>
      <c r="B27">
        <f>B26+C6</f>
        <v>7.81562712450828</v>
      </c>
      <c r="C27" t="s">
        <v>65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H2" sqref="H2"/>
    </sheetView>
  </sheetViews>
  <sheetFormatPr defaultColWidth="9" defaultRowHeight="14" outlineLevelRow="7"/>
  <cols>
    <col min="1" max="1" width="17.3727272727273" customWidth="1"/>
    <col min="2" max="2" width="12.5" customWidth="1"/>
    <col min="3" max="3" width="13.2545454545455" customWidth="1"/>
    <col min="4" max="4" width="23" customWidth="1"/>
    <col min="6" max="7" width="12.6272727272727"/>
    <col min="8" max="8" width="16" customWidth="1"/>
    <col min="9" max="9" width="16.2545454545455" customWidth="1"/>
    <col min="10" max="10" width="14.1272727272727" customWidth="1"/>
  </cols>
  <sheetData>
    <row r="1" ht="28" spans="1:10">
      <c r="A1" t="s">
        <v>74</v>
      </c>
      <c r="B1">
        <v>93.1</v>
      </c>
      <c r="E1" t="s">
        <v>75</v>
      </c>
      <c r="F1" t="s">
        <v>76</v>
      </c>
      <c r="G1" t="s">
        <v>77</v>
      </c>
      <c r="H1" s="3" t="s">
        <v>78</v>
      </c>
      <c r="I1" t="s">
        <v>57</v>
      </c>
      <c r="J1" t="s">
        <v>79</v>
      </c>
    </row>
    <row r="2" spans="1:10">
      <c r="A2" t="s">
        <v>80</v>
      </c>
      <c r="B2">
        <f>B1/1.732/35</f>
        <v>1.53579676674365</v>
      </c>
      <c r="C2" t="s">
        <v>42</v>
      </c>
      <c r="D2" t="s">
        <v>49</v>
      </c>
      <c r="E2">
        <v>0.0007</v>
      </c>
      <c r="F2">
        <v>0.0318</v>
      </c>
      <c r="G2">
        <f>SQRT(E2*E2+F2*F2)</f>
        <v>0.0318077034694427</v>
      </c>
      <c r="H2">
        <f>1/F2</f>
        <v>31.4465408805031</v>
      </c>
      <c r="I2">
        <f>H2*B8</f>
        <v>15.7880012453575</v>
      </c>
      <c r="J2">
        <f>I2+B5</f>
        <v>16.5209951567579</v>
      </c>
    </row>
    <row r="3" spans="1:10">
      <c r="A3" t="s">
        <v>81</v>
      </c>
      <c r="B3">
        <f>1.5*B2</f>
        <v>2.30369515011547</v>
      </c>
      <c r="C3" t="s">
        <v>42</v>
      </c>
      <c r="D3" t="s">
        <v>50</v>
      </c>
      <c r="E3">
        <v>0.0013</v>
      </c>
      <c r="F3">
        <v>0.026</v>
      </c>
      <c r="G3">
        <f>SQRT(E3*E3+F3*F3)</f>
        <v>0.026032479712851</v>
      </c>
      <c r="H3">
        <f>1/(2*F2+F3)</f>
        <v>11.1607142857143</v>
      </c>
      <c r="I3">
        <f>H3*3*B8</f>
        <v>16.8099923974008</v>
      </c>
      <c r="J3">
        <f>I3+B5</f>
        <v>17.5429863088012</v>
      </c>
    </row>
    <row r="4" spans="1:10">
      <c r="A4" t="s">
        <v>80</v>
      </c>
      <c r="B4">
        <f>B1/1.732/110</f>
        <v>0.488662607600252</v>
      </c>
      <c r="C4" t="s">
        <v>41</v>
      </c>
      <c r="D4" t="s">
        <v>49</v>
      </c>
      <c r="F4">
        <f>0.0318+(15+8)*0.41*100/115/115</f>
        <v>0.103104347826087</v>
      </c>
      <c r="H4">
        <f>1/F4</f>
        <v>9.69891203508476</v>
      </c>
      <c r="I4">
        <f>H4*B8</f>
        <v>4.8694206421753</v>
      </c>
      <c r="J4">
        <f>I4+B5</f>
        <v>5.60241455357568</v>
      </c>
    </row>
    <row r="5" spans="1:10">
      <c r="A5" t="s">
        <v>81</v>
      </c>
      <c r="B5">
        <f>1.5*B4</f>
        <v>0.732993911400378</v>
      </c>
      <c r="C5" t="s">
        <v>41</v>
      </c>
      <c r="D5" t="s">
        <v>50</v>
      </c>
      <c r="F5">
        <f>0.026+(15+8)*0.41*100/115/115*2.5</f>
        <v>0.204260869565217</v>
      </c>
      <c r="H5">
        <f>1/(2*F4+F5)</f>
        <v>2.4362342174392</v>
      </c>
      <c r="I5">
        <f>H5*3*B8</f>
        <v>3.66939584914028</v>
      </c>
      <c r="J5">
        <f>I5+B5</f>
        <v>4.40238976054065</v>
      </c>
    </row>
    <row r="6" spans="1:10">
      <c r="D6" t="s">
        <v>49</v>
      </c>
      <c r="F6">
        <f>F4+18/100</f>
        <v>0.283104347826087</v>
      </c>
      <c r="H6">
        <f>1/F6</f>
        <v>3.53226648646988</v>
      </c>
      <c r="I6">
        <f>H6*B7</f>
        <v>5.5119319743928</v>
      </c>
      <c r="J6">
        <f>I6+B3</f>
        <v>7.81562712450828</v>
      </c>
    </row>
    <row r="7" spans="1:10">
      <c r="A7" t="s">
        <v>0</v>
      </c>
      <c r="B7">
        <f>100/1.732/37</f>
        <v>1.56045190687223</v>
      </c>
      <c r="C7" t="s">
        <v>42</v>
      </c>
    </row>
    <row r="8" spans="1:10">
      <c r="A8" t="s">
        <v>0</v>
      </c>
      <c r="B8">
        <f>100/1.732/115</f>
        <v>0.50205843960237</v>
      </c>
      <c r="C8" t="s">
        <v>41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E24" sqref="E24"/>
    </sheetView>
  </sheetViews>
  <sheetFormatPr defaultColWidth="9" defaultRowHeight="14" outlineLevelCol="5"/>
  <cols>
    <col min="1" max="1" width="25.8727272727273" customWidth="1"/>
    <col min="2" max="3" width="25.3727272727273" customWidth="1"/>
    <col min="4" max="4" width="8.87272727272727" customWidth="1"/>
    <col min="5" max="5" width="58.2545454545455" customWidth="1"/>
  </cols>
  <sheetData>
    <row r="1" spans="1:6">
      <c r="A1" t="s">
        <v>0</v>
      </c>
      <c r="B1">
        <f>100/1.732/115</f>
        <v>0.50205843960237</v>
      </c>
      <c r="C1" t="s">
        <v>41</v>
      </c>
    </row>
    <row r="2" spans="1:6">
      <c r="A2" t="s">
        <v>0</v>
      </c>
      <c r="B2">
        <f>100/1.732/37</f>
        <v>1.56045190687223</v>
      </c>
      <c r="C2" t="s">
        <v>42</v>
      </c>
    </row>
    <row r="3" spans="1:6">
      <c r="A3" t="s">
        <v>0</v>
      </c>
      <c r="B3">
        <f>100/1.732/10.5</f>
        <v>5.4987352908831</v>
      </c>
      <c r="C3" t="s">
        <v>82</v>
      </c>
    </row>
    <row r="4" spans="1:6">
      <c r="A4" t="s">
        <v>43</v>
      </c>
      <c r="B4" t="s">
        <v>44</v>
      </c>
      <c r="C4" t="s">
        <v>45</v>
      </c>
      <c r="D4" t="s">
        <v>46</v>
      </c>
    </row>
    <row r="5" spans="1:6">
      <c r="A5" s="2">
        <v>45</v>
      </c>
      <c r="B5">
        <f>A5/1.732/110</f>
        <v>0.236195674994751</v>
      </c>
      <c r="C5">
        <f>1.5*B5</f>
        <v>0.354293512492127</v>
      </c>
      <c r="D5" t="s">
        <v>10</v>
      </c>
    </row>
    <row r="6" spans="1:6">
      <c r="B6">
        <f>A5/1.732/35</f>
        <v>0.742329264269218</v>
      </c>
      <c r="C6">
        <f>1.5*B6</f>
        <v>1.11349389640383</v>
      </c>
      <c r="D6" t="s">
        <v>13</v>
      </c>
    </row>
    <row r="8" spans="1:6">
      <c r="A8" t="s">
        <v>83</v>
      </c>
      <c r="E8" t="s">
        <v>48</v>
      </c>
    </row>
    <row r="9" spans="1:6">
      <c r="B9" t="s">
        <v>49</v>
      </c>
      <c r="C9" t="s">
        <v>50</v>
      </c>
      <c r="E9" t="s">
        <v>51</v>
      </c>
    </row>
    <row r="10" ht="33" spans="1:6">
      <c r="A10" s="1" t="s">
        <v>52</v>
      </c>
      <c r="B10" s="2">
        <v>0.0318</v>
      </c>
      <c r="C10" s="2">
        <v>0.026</v>
      </c>
      <c r="E10" t="s">
        <v>53</v>
      </c>
      <c r="F10" t="s">
        <v>54</v>
      </c>
    </row>
    <row r="11" ht="33" spans="1:6">
      <c r="A11" s="1" t="s">
        <v>55</v>
      </c>
      <c r="B11">
        <f>1/B10</f>
        <v>31.4465408805031</v>
      </c>
      <c r="C11">
        <f>3/(2*B10+C10)</f>
        <v>33.4821428571429</v>
      </c>
      <c r="E11" t="s">
        <v>56</v>
      </c>
    </row>
    <row r="12" spans="1:6">
      <c r="A12" t="s">
        <v>57</v>
      </c>
      <c r="B12">
        <f>B11*B1</f>
        <v>15.7880012453575</v>
      </c>
      <c r="C12">
        <f>C11*B1</f>
        <v>16.8099923974008</v>
      </c>
    </row>
    <row r="13" spans="1:6">
      <c r="A13" t="s">
        <v>58</v>
      </c>
      <c r="B13">
        <f>B12+C5</f>
        <v>16.1422947578497</v>
      </c>
      <c r="C13">
        <f>C12+C5</f>
        <v>17.1642859098929</v>
      </c>
    </row>
    <row r="15" spans="1:6">
      <c r="A15" t="s">
        <v>59</v>
      </c>
    </row>
    <row r="16" spans="1:6">
      <c r="B16" t="s">
        <v>49</v>
      </c>
      <c r="C16" t="s">
        <v>50</v>
      </c>
      <c r="E16" t="s">
        <v>60</v>
      </c>
    </row>
    <row r="17" ht="33" spans="1:6">
      <c r="A17" s="1" t="s">
        <v>52</v>
      </c>
      <c r="B17" s="2">
        <f>B10+(15+8)*0.41*100/115/115</f>
        <v>0.103104347826087</v>
      </c>
      <c r="C17" s="2">
        <f>C10+(15+8)*0.41*100/115/115*2.5</f>
        <v>0.204260869565217</v>
      </c>
      <c r="E17" t="s">
        <v>61</v>
      </c>
      <c r="F17" t="s">
        <v>62</v>
      </c>
    </row>
    <row r="18" ht="33" spans="1:6">
      <c r="A18" s="1" t="s">
        <v>55</v>
      </c>
      <c r="B18">
        <f>1/B17</f>
        <v>9.69891203508476</v>
      </c>
      <c r="C18">
        <f>3/(2*B17+C17)</f>
        <v>7.3087026523176</v>
      </c>
      <c r="E18" t="s">
        <v>63</v>
      </c>
    </row>
    <row r="19" spans="1:6">
      <c r="A19" t="s">
        <v>57</v>
      </c>
      <c r="B19">
        <f>B18*B1</f>
        <v>4.8694206421753</v>
      </c>
      <c r="C19">
        <f>C18*B1</f>
        <v>3.66939584914027</v>
      </c>
    </row>
    <row r="20" spans="1:6">
      <c r="A20" t="s">
        <v>58</v>
      </c>
      <c r="B20">
        <f>B19+C5</f>
        <v>5.22371415466743</v>
      </c>
      <c r="C20">
        <f>C19+C5</f>
        <v>4.0236893616324</v>
      </c>
    </row>
    <row r="22" spans="1:6">
      <c r="A22" t="s">
        <v>64</v>
      </c>
    </row>
    <row r="23" spans="1:6">
      <c r="B23" t="s">
        <v>49</v>
      </c>
      <c r="C23" t="s">
        <v>50</v>
      </c>
    </row>
    <row r="24" ht="33" spans="1:6">
      <c r="A24" s="1" t="s">
        <v>52</v>
      </c>
      <c r="B24" s="2">
        <f>B17+18/100</f>
        <v>0.283104347826087</v>
      </c>
      <c r="C24" t="s">
        <v>65</v>
      </c>
      <c r="E24" t="s">
        <v>66</v>
      </c>
    </row>
    <row r="25" ht="33" spans="1:6">
      <c r="A25" s="1" t="s">
        <v>55</v>
      </c>
      <c r="B25">
        <f>1/B24</f>
        <v>3.53226648646988</v>
      </c>
      <c r="C25" t="s">
        <v>65</v>
      </c>
    </row>
    <row r="26" spans="1:6">
      <c r="A26" t="s">
        <v>57</v>
      </c>
      <c r="B26">
        <f>B25*B2</f>
        <v>5.5119319743928</v>
      </c>
      <c r="C26" t="s">
        <v>65</v>
      </c>
    </row>
    <row r="27" spans="1:6">
      <c r="A27" t="s">
        <v>58</v>
      </c>
      <c r="B27">
        <f>B26+C6</f>
        <v>6.62542587079663</v>
      </c>
      <c r="C27" t="s">
        <v>65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9" sqref="D9"/>
    </sheetView>
  </sheetViews>
  <sheetFormatPr defaultColWidth="9" defaultRowHeight="14" outlineLevelRow="7" outlineLevelCol="4"/>
  <cols>
    <col min="1" max="1" width="16.5" customWidth="1"/>
    <col min="2" max="3" width="25.3727272727273" customWidth="1"/>
    <col min="4" max="4" width="17.1272727272727" customWidth="1"/>
    <col min="5" max="6" width="12.6272727272727" customWidth="1"/>
  </cols>
  <sheetData>
    <row r="1" spans="1:5">
      <c r="A1" t="s">
        <v>0</v>
      </c>
      <c r="B1">
        <f>100/1.732/115</f>
        <v>0.50205843960237</v>
      </c>
      <c r="C1" t="s">
        <v>41</v>
      </c>
    </row>
    <row r="2" spans="1:5">
      <c r="B2" t="s">
        <v>49</v>
      </c>
      <c r="C2" t="s">
        <v>50</v>
      </c>
      <c r="D2" t="s">
        <v>84</v>
      </c>
    </row>
    <row r="3" ht="33" spans="1:5">
      <c r="A3" s="1" t="s">
        <v>52</v>
      </c>
      <c r="B3" s="2">
        <v>0.1</v>
      </c>
      <c r="C3" s="2">
        <f>B3*C7</f>
        <v>0.02266816</v>
      </c>
      <c r="D3">
        <f>C3/B3</f>
        <v>0.2266816</v>
      </c>
      <c r="E3">
        <f>0.5+D3</f>
        <v>0.7266816</v>
      </c>
    </row>
    <row r="4" ht="49.5" spans="1:5">
      <c r="A4" s="1" t="s">
        <v>55</v>
      </c>
      <c r="B4">
        <f>1/B3</f>
        <v>10</v>
      </c>
      <c r="C4">
        <f>3/(2*B3+C3)</f>
        <v>13.4729635346158</v>
      </c>
      <c r="D4">
        <f>SQRT(E3*E3+0.75)*SQRT(3)/(D3*2+1)</f>
        <v>1.34729635196725</v>
      </c>
    </row>
    <row r="5" spans="1:5">
      <c r="A5" t="s">
        <v>57</v>
      </c>
      <c r="B5">
        <f>B4*B1</f>
        <v>5.0205843960237</v>
      </c>
      <c r="C5">
        <f>C4*B1</f>
        <v>6.76421504900884</v>
      </c>
      <c r="D5">
        <f>D4*B4*B1</f>
        <v>6.76421504150644</v>
      </c>
    </row>
    <row r="7" spans="1:5">
      <c r="B7" t="s">
        <v>85</v>
      </c>
      <c r="C7">
        <v>0.2266816</v>
      </c>
    </row>
    <row r="8" spans="1:5">
      <c r="B8" t="s">
        <v>86</v>
      </c>
      <c r="C8">
        <f>D5/C5</f>
        <v>0.999999998890869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龙和光伏</vt:lpstr>
      <vt:lpstr>新京光伏</vt:lpstr>
      <vt:lpstr>林山光伏</vt:lpstr>
      <vt:lpstr>新昌光伏</vt:lpstr>
      <vt:lpstr>Sheet1</vt:lpstr>
      <vt:lpstr>吉利光伏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2024-01-09T06:18:00Z</dcterms:created>
  <dcterms:modified xsi:type="dcterms:W3CDTF">2026-07-03T03:42:30Z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CB75333C3E34430781AEF9639D1003C6</vt:lpwstr>
  </property>
  <property fmtid="{D5CDD505-2E9C-101B-9397-08002B2CF9AE}" pid="4" name="CalculationRule">
    <vt:i4>0</vt:i4>
  </property>
</Properties>
</file>